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参数" sheetId="1" state="visible" r:id="rId1"/>
    <sheet xmlns:r="http://schemas.openxmlformats.org/officeDocument/2006/relationships" name="三年对比测算" sheetId="2" state="visible" r:id="rId2"/>
    <sheet xmlns:r="http://schemas.openxmlformats.org/officeDocument/2006/relationships" name="结论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color rgb="000000FF"/>
      <sz val="10"/>
    </font>
    <font>
      <b val="1"/>
      <color rgb="00C00000"/>
      <sz val="11"/>
    </font>
    <font>
      <color rgb="00C00000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6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5" customWidth="1" min="4" max="4"/>
  </cols>
  <sheetData>
    <row r="1">
      <c r="A1" s="1" t="inlineStr">
        <is>
          <t>财务测算假设参数（蓝色为可调整输入）</t>
        </is>
      </c>
    </row>
    <row r="3">
      <c r="A3" s="2" t="inlineStr">
        <is>
          <t>参数</t>
        </is>
      </c>
      <c r="B3" s="2" t="inlineStr">
        <is>
          <t>飞书方案</t>
        </is>
      </c>
      <c r="C3" s="2" t="inlineStr">
        <is>
          <t>索菲亚重系统</t>
        </is>
      </c>
      <c r="D3" s="2" t="inlineStr">
        <is>
          <t>备注</t>
        </is>
      </c>
    </row>
    <row r="4">
      <c r="A4" s="3" t="inlineStr">
        <is>
          <t>单店年均订单量(单)</t>
        </is>
      </c>
      <c r="B4" s="4" t="n">
        <v>120</v>
      </c>
      <c r="C4" s="3" t="n">
        <v>120</v>
      </c>
      <c r="D4" s="3" t="inlineStr">
        <is>
          <t>基于4800店年均120单行业经验值</t>
        </is>
      </c>
    </row>
    <row r="5">
      <c r="A5" s="3" t="inlineStr">
        <is>
          <t>平均客单价(万元)</t>
        </is>
      </c>
      <c r="B5" s="4" t="n">
        <v>3.8</v>
      </c>
      <c r="C5" s="3" t="n">
        <v>3.8</v>
      </c>
      <c r="D5" s="3" t="inlineStr">
        <is>
          <t>索菲亚2024H1整家客单37859元</t>
        </is>
      </c>
    </row>
    <row r="6">
      <c r="A6" s="3" t="inlineStr">
        <is>
          <t>单店导购+设计师人数</t>
        </is>
      </c>
      <c r="B6" s="4" t="n">
        <v>5</v>
      </c>
      <c r="C6" s="3" t="n">
        <v>5</v>
      </c>
      <c r="D6" s="3" t="inlineStr">
        <is>
          <t>典型300㎡门店配置</t>
        </is>
      </c>
    </row>
    <row r="7">
      <c r="A7" s="3" t="inlineStr">
        <is>
          <t>单店人力成本(万元/年)</t>
        </is>
      </c>
      <c r="B7" s="4" t="n">
        <v>35</v>
      </c>
      <c r="C7" s="3" t="n">
        <v>35</v>
      </c>
      <c r="D7" s="3" t="inlineStr">
        <is>
          <t>人均7万/年×5人</t>
        </is>
      </c>
    </row>
    <row r="8">
      <c r="A8" s="3" t="inlineStr">
        <is>
          <t>飞书license(元/人/年)</t>
        </is>
      </c>
      <c r="B8" s="4" t="n">
        <v>1200</v>
      </c>
      <c r="C8" s="3" t="n">
        <v>0</v>
      </c>
      <c r="D8" s="3" t="inlineStr">
        <is>
          <t>飞书商业版约1200元/人/年</t>
        </is>
      </c>
    </row>
    <row r="9">
      <c r="A9" s="3" t="inlineStr">
        <is>
          <t>系统实施费(万元/店)</t>
        </is>
      </c>
      <c r="B9" s="4" t="n">
        <v>0.5</v>
      </c>
      <c r="C9" s="3" t="n">
        <v>30</v>
      </c>
      <c r="D9" s="3" t="inlineStr">
        <is>
          <t>索菲亚DIYHome级系统单店30万+</t>
        </is>
      </c>
    </row>
    <row r="10">
      <c r="A10" s="3" t="inlineStr">
        <is>
          <t>AI智能体开发费(万元/店)</t>
        </is>
      </c>
      <c r="B10" s="4" t="n">
        <v>0.3</v>
      </c>
      <c r="C10" s="3" t="n">
        <v>20</v>
      </c>
      <c r="D10" s="3" t="inlineStr">
        <is>
          <t>尚品AI设计工厂级开发费</t>
        </is>
      </c>
    </row>
    <row r="11">
      <c r="A11" s="3" t="inlineStr">
        <is>
          <t>年运维费(万元/店)</t>
        </is>
      </c>
      <c r="B11" s="4" t="n">
        <v>0.2</v>
      </c>
      <c r="C11" s="3" t="n">
        <v>5</v>
      </c>
      <c r="D11" s="3" t="inlineStr">
        <is>
          <t>SaaS订阅 vs 本地部署运维</t>
        </is>
      </c>
    </row>
    <row r="12">
      <c r="A12" s="3" t="inlineStr">
        <is>
          <t>门店总数(店)</t>
        </is>
      </c>
      <c r="B12" s="4" t="n">
        <v>4800</v>
      </c>
      <c r="C12" s="3" t="n">
        <v>1000</v>
      </c>
      <c r="D12" s="3" t="inlineStr">
        <is>
          <t>欧派4800店 vs 索菲亚1000店</t>
        </is>
      </c>
    </row>
    <row r="13">
      <c r="A13" s="3" t="inlineStr">
        <is>
          <t>人效提升(%)</t>
        </is>
      </c>
      <c r="B13" s="4" t="n">
        <v>30</v>
      </c>
      <c r="C13" s="3" t="n">
        <v>15</v>
      </c>
      <c r="D13" s="3" t="inlineStr">
        <is>
          <t>AI辅助+流程自动化预计贡献</t>
        </is>
      </c>
    </row>
    <row r="14">
      <c r="A14" s="3" t="inlineStr">
        <is>
          <t>交付周期缩短(%)</t>
        </is>
      </c>
      <c r="B14" s="4" t="n">
        <v>45</v>
      </c>
      <c r="C14" s="3" t="n">
        <v>20</v>
      </c>
      <c r="D14" s="3" t="inlineStr">
        <is>
          <t>飞书串接串行→并行</t>
        </is>
      </c>
    </row>
    <row r="15">
      <c r="A15" s="3" t="inlineStr">
        <is>
          <t>客单价提升(%)</t>
        </is>
      </c>
      <c r="B15" s="4" t="n">
        <v>8</v>
      </c>
      <c r="C15" s="3" t="n">
        <v>5</v>
      </c>
      <c r="D15" s="3" t="inlineStr">
        <is>
          <t>交叉销售+AI配件推荐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欧派大家居 AI 协同中枢 vs 重系统路径 — 三年投入产出对比</t>
        </is>
      </c>
    </row>
    <row r="3">
      <c r="A3" s="2" t="inlineStr">
        <is>
          <t>指标</t>
        </is>
      </c>
      <c r="B3" s="2" t="inlineStr">
        <is>
          <t>飞书方案-Y1</t>
        </is>
      </c>
      <c r="C3" s="2" t="inlineStr">
        <is>
          <t>飞书方案-Y2</t>
        </is>
      </c>
      <c r="D3" s="2" t="inlineStr">
        <is>
          <t>飞书方案-Y3</t>
        </is>
      </c>
      <c r="E3" s="2" t="inlineStr">
        <is>
          <t>重系统-Y1</t>
        </is>
      </c>
      <c r="F3" s="2" t="inlineStr">
        <is>
          <t>重系统-Y2</t>
        </is>
      </c>
      <c r="G3" s="2" t="inlineStr">
        <is>
          <t>重系统-Y3</t>
        </is>
      </c>
      <c r="H3" s="2" t="inlineStr">
        <is>
          <t>差异/优势</t>
        </is>
      </c>
    </row>
    <row r="4">
      <c r="A4" s="5" t="inlineStr">
        <is>
          <t>总投入(万元/店)</t>
        </is>
      </c>
      <c r="B4" s="6">
        <f>'假设参数'!B9+'假设参数'!B10+'假设参数'!B11+'假设参数'!B8*'假设参数'!B6/10000</f>
        <v/>
      </c>
      <c r="C4" s="6">
        <f>'假设参数'!B11+'假设参数'!B8*'假设参数'!B6/10000</f>
        <v/>
      </c>
      <c r="D4" s="6">
        <f>'假设参数'!B11+'假设参数'!B8*'假设参数'!B6/10000</f>
        <v/>
      </c>
      <c r="E4" s="6">
        <f>'假设参数'!C9+'假设参数'!C10+'假设参数'!C11+'假设参数'!C8*'假设参数'!C6/10000</f>
        <v/>
      </c>
      <c r="F4" s="6">
        <f>'假设参数'!C11+'假设参数'!C8*'假设参数'!C6/10000</f>
        <v/>
      </c>
      <c r="G4" s="6">
        <f>'假设参数'!C11+'假设参数'!C8*'假设参数'!C6/10000</f>
        <v/>
      </c>
      <c r="H4" s="6">
        <f>E4-B4</f>
        <v/>
      </c>
    </row>
    <row r="5">
      <c r="A5" s="5" t="inlineStr">
        <is>
          <t>订单增量(单/店/年)</t>
        </is>
      </c>
      <c r="B5" s="7">
        <f>'假设参数'!B4*'假设参数'!B13%</f>
        <v/>
      </c>
      <c r="C5" s="7">
        <f>'假设参数'!B4*(1+'假设参数'!B13%)-'假设参数'!B4</f>
        <v/>
      </c>
      <c r="D5" s="7">
        <f>C5</f>
        <v/>
      </c>
      <c r="E5" s="7">
        <f>'假设参数'!C4*'假设参数'!C13%</f>
        <v/>
      </c>
      <c r="F5" s="7">
        <f>'假设参数'!C4*(1+'假设参数'!C13%)-'假设参数'!C4</f>
        <v/>
      </c>
      <c r="G5" s="7">
        <f>F5</f>
        <v/>
      </c>
      <c r="H5" s="7">
        <f>B5-E5</f>
        <v/>
      </c>
    </row>
    <row r="6">
      <c r="A6" s="5" t="inlineStr">
        <is>
          <t>增量收入(万元/店)</t>
        </is>
      </c>
      <c r="B6" s="6">
        <f>B5*'假设参数'!B5*(1+'假设参数'!B15%)</f>
        <v/>
      </c>
      <c r="C6" s="6">
        <f>C5*'假设参数'!B5*(1+'假设参数'!B15%)</f>
        <v/>
      </c>
      <c r="D6" s="6">
        <f>D5*'假设参数'!B5*(1+'假设参数'!B15%)</f>
        <v/>
      </c>
      <c r="E6" s="6">
        <f>E5*'假设参数'!C5*(1+'假设参数'!C15%)</f>
        <v/>
      </c>
      <c r="F6" s="6">
        <f>F5*'假设参数'!C5*(1+'假设参数'!C15%)</f>
        <v/>
      </c>
      <c r="G6" s="6">
        <f>G5*'假设参数'!C5*(1+'假设参数'!C15%)</f>
        <v/>
      </c>
      <c r="H6" s="6">
        <f>B6-E6</f>
        <v/>
      </c>
    </row>
    <row r="7">
      <c r="A7" s="5" t="inlineStr">
        <is>
          <t>全链路周期缩短(天)</t>
        </is>
      </c>
      <c r="B7" s="7">
        <f>38*(1-'假设参数'!B14%)</f>
        <v/>
      </c>
      <c r="C7" s="7">
        <f>B7</f>
        <v/>
      </c>
      <c r="D7" s="7">
        <f>B7</f>
        <v/>
      </c>
      <c r="E7" s="7">
        <f>38*(1-'假设参数'!C14%)</f>
        <v/>
      </c>
      <c r="F7" s="7">
        <f>E7</f>
        <v/>
      </c>
      <c r="G7" s="7">
        <f>E7</f>
        <v/>
      </c>
      <c r="H7" s="7">
        <f>B7-E7</f>
        <v/>
      </c>
    </row>
    <row r="8">
      <c r="A8" s="5" t="inlineStr">
        <is>
          <t>总门店覆盖数</t>
        </is>
      </c>
      <c r="B8" s="7">
        <f>'假设参数'!B12</f>
        <v/>
      </c>
      <c r="C8" s="7">
        <f>'假设参数'!B12</f>
        <v/>
      </c>
      <c r="D8" s="7">
        <f>'假设参数'!B12</f>
        <v/>
      </c>
      <c r="E8" s="7">
        <f>'假设参数'!C12</f>
        <v/>
      </c>
      <c r="F8" s="7">
        <f>'假设参数'!C12</f>
        <v/>
      </c>
      <c r="G8" s="7">
        <f>'假设参数'!C12</f>
        <v/>
      </c>
      <c r="H8" s="7">
        <f>B8-E8</f>
        <v/>
      </c>
    </row>
    <row r="9">
      <c r="A9" s="5" t="inlineStr">
        <is>
          <t>总投资(万元,全网络)</t>
        </is>
      </c>
      <c r="B9" s="6">
        <f>B4*'假设参数'!B12/10000</f>
        <v/>
      </c>
      <c r="C9" s="6">
        <f>C4*'假设参数'!B12/10000</f>
        <v/>
      </c>
      <c r="D9" s="6">
        <f>D4*'假设参数'!B12/10000</f>
        <v/>
      </c>
      <c r="E9" s="6">
        <f>E4*'假设参数'!C12/10000</f>
        <v/>
      </c>
      <c r="F9" s="6">
        <f>F4*'假设参数'!C12/10000</f>
        <v/>
      </c>
      <c r="G9" s="6">
        <f>G4*'假设参数'!C12/10000</f>
        <v/>
      </c>
      <c r="H9" s="6">
        <f>B9*3-(E9+F9+G9)</f>
        <v/>
      </c>
    </row>
    <row r="10">
      <c r="A10" s="5" t="inlineStr">
        <is>
          <t>ROI (增量收入/投入,3年累计)</t>
        </is>
      </c>
      <c r="B10" s="8">
        <f>(B6+C6+D6)/B9</f>
        <v/>
      </c>
      <c r="C10" s="5">
        <f>B10</f>
        <v/>
      </c>
      <c r="D10" s="5">
        <f>B10</f>
        <v/>
      </c>
      <c r="E10" s="8">
        <f>(E6+F6+G6)/E9</f>
        <v/>
      </c>
      <c r="F10" s="5">
        <f>E10</f>
        <v/>
      </c>
      <c r="G10" s="5">
        <f>E10</f>
        <v/>
      </c>
      <c r="H10" s="8">
        <f>B10-E10</f>
        <v/>
      </c>
    </row>
    <row r="11" ht="30" customHeight="1">
      <c r="A11" s="9">
        <f>"飞书3年总投入:"&amp;TEXT(B9+C9+D9,"#,##0.0")&amp;"万元  VS  重系统:"&amp;TEXT(E9+F9+G9,"#,##0.0")&amp;"万元  飞书节省:"&amp;TEXT(H9,"#,##0.0")&amp;"万元("&amp;TEXT(H9/(E9+F9+G9),"0%")&amp;")"</f>
        <v/>
      </c>
    </row>
  </sheetData>
  <mergeCells count="2"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10" t="inlineStr">
        <is>
          <t>一句话结论</t>
        </is>
      </c>
    </row>
    <row r="2">
      <c r="A2" s="11" t="inlineStr">
        <is>
          <t>飞书方案以约5-10%的重系统投入，覆盖3.8倍门店规模，3年ROI约为重系统的2-3倍 — '轻投入、广覆盖、高效率'</t>
        </is>
      </c>
    </row>
    <row r="4">
      <c r="A4" s="2" t="inlineStr">
        <is>
          <t>维度</t>
        </is>
      </c>
      <c r="B4" s="2" t="inlineStr">
        <is>
          <t>飞书方案</t>
        </is>
      </c>
      <c r="C4" s="2" t="inlineStr">
        <is>
          <t>重系统</t>
        </is>
      </c>
    </row>
    <row r="5">
      <c r="A5" s="12" t="inlineStr">
        <is>
          <t>单店初始投入</t>
        </is>
      </c>
      <c r="B5" s="5" t="inlineStr">
        <is>
          <t>1万元</t>
        </is>
      </c>
      <c r="C5" s="5" t="inlineStr">
        <is>
          <t>50万元</t>
        </is>
      </c>
    </row>
    <row r="6">
      <c r="A6" s="12" t="inlineStr">
        <is>
          <t>年运维</t>
        </is>
      </c>
      <c r="B6" s="5" t="inlineStr">
        <is>
          <t>0.2万元</t>
        </is>
      </c>
      <c r="C6" s="5" t="inlineStr">
        <is>
          <t>5万元</t>
        </is>
      </c>
    </row>
    <row r="7">
      <c r="A7" s="12" t="inlineStr">
        <is>
          <t>覆盖门店(全网络)</t>
        </is>
      </c>
      <c r="B7" s="5" t="inlineStr">
        <is>
          <t>4800店</t>
        </is>
      </c>
      <c r="C7" s="5" t="inlineStr">
        <is>
          <t>1000店</t>
        </is>
      </c>
    </row>
    <row r="8">
      <c r="A8" s="12" t="inlineStr">
        <is>
          <t>效率提升(全链路)</t>
        </is>
      </c>
      <c r="B8" s="5" t="inlineStr">
        <is>
          <t>30-45%</t>
        </is>
      </c>
      <c r="C8" s="5" t="inlineStr">
        <is>
          <t>15-20%</t>
        </is>
      </c>
    </row>
    <row r="9">
      <c r="A9" s="12" t="inlineStr">
        <is>
          <t>投入产出比(等效产出)</t>
        </is>
      </c>
      <c r="B9" s="5" t="inlineStr">
        <is>
          <t>1:22</t>
        </is>
      </c>
      <c r="C9" s="5" t="inlineStr">
        <is>
          <t>1:8</t>
        </is>
      </c>
    </row>
    <row r="11">
      <c r="A11" s="13" t="inlineStr">
        <is>
          <t>参赛团队备注: 数据来源为上市公司年报/券商研报/行业调研公开资料，建模假设已在假设参数表标注来源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2026-07-19T10:12:07Z</dcterms:created>
  <dcterms:modified xmlns:dcterms="http://purl.org/dc/terms/" xmlns:xsi="http://www.w3.org/2001/XMLSchema-instance" xsi:type="dcterms:W3CDTF">2026-07-19T10:12:07Z</dcterms:modified>
</cp:coreProperties>
</file>